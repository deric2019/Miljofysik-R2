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entchalmersse-my.sharepoint.com/personal/deric_net_chalmers_se/Documents/"/>
    </mc:Choice>
  </mc:AlternateContent>
  <xr:revisionPtr revIDLastSave="820" documentId="8_{BDABD00E-2C75-5D4C-8BDE-B6F570989EC6}" xr6:coauthVersionLast="46" xr6:coauthVersionMax="46" xr10:uidLastSave="{76F091DF-65F7-5C4B-AC70-3F26CB6F774E}"/>
  <bookViews>
    <workbookView xWindow="2020" yWindow="620" windowWidth="31200" windowHeight="19540" xr2:uid="{101B6AB9-8134-2D48-ACCA-04B2AF6EAEE2}"/>
  </bookViews>
  <sheets>
    <sheet name="Uppgift1" sheetId="1" r:id="rId1"/>
    <sheet name="Uppgift 2" sheetId="6" r:id="rId2"/>
    <sheet name="Uppgift 3" sheetId="4" r:id="rId3"/>
    <sheet name="Uppgift 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" l="1"/>
  <c r="B13" i="1"/>
  <c r="B12" i="1"/>
  <c r="E5" i="1"/>
  <c r="E4" i="1"/>
  <c r="E3" i="1"/>
  <c r="E8" i="1"/>
  <c r="B16" i="6"/>
  <c r="B14" i="6"/>
  <c r="B15" i="6" s="1"/>
  <c r="B11" i="6"/>
  <c r="B18" i="6" s="1"/>
  <c r="B19" i="6" s="1"/>
  <c r="D8" i="6"/>
  <c r="F4" i="6"/>
  <c r="D4" i="6"/>
  <c r="C4" i="6"/>
  <c r="B4" i="6"/>
  <c r="F3" i="4"/>
  <c r="B23" i="4" s="1"/>
  <c r="D23" i="4" s="1"/>
  <c r="B24" i="4" s="1"/>
  <c r="B24" i="5"/>
  <c r="B14" i="5"/>
  <c r="D23" i="5"/>
  <c r="D13" i="5"/>
  <c r="B23" i="5"/>
  <c r="B13" i="5"/>
  <c r="B8" i="5"/>
  <c r="B18" i="5"/>
  <c r="D11" i="5"/>
  <c r="D21" i="5"/>
  <c r="F2" i="5"/>
  <c r="B5" i="5" s="1"/>
  <c r="B12" i="5" s="1"/>
  <c r="B22" i="4"/>
  <c r="D9" i="4"/>
  <c r="B10" i="4" s="1"/>
  <c r="B12" i="4" s="1"/>
  <c r="C5" i="1"/>
  <c r="C6" i="1" s="1"/>
  <c r="D5" i="1"/>
  <c r="D6" i="1" s="1"/>
  <c r="B5" i="1"/>
  <c r="B6" i="1" s="1"/>
  <c r="E6" i="1" s="1"/>
  <c r="B20" i="6" l="1"/>
  <c r="D20" i="6" s="1"/>
  <c r="B21" i="6" s="1"/>
  <c r="B13" i="4"/>
  <c r="D13" i="4" s="1"/>
  <c r="B14" i="4" s="1"/>
  <c r="B22" i="5"/>
  <c r="B7" i="1"/>
  <c r="E7" i="1" s="1"/>
  <c r="D7" i="1"/>
  <c r="C7" i="1"/>
</calcChain>
</file>

<file path=xl/sharedStrings.xml><?xml version="1.0" encoding="utf-8"?>
<sst xmlns="http://schemas.openxmlformats.org/spreadsheetml/2006/main" count="138" uniqueCount="89">
  <si>
    <t>Sävenäs anläggning</t>
  </si>
  <si>
    <t>Mängd förbränt avfall (ton):</t>
  </si>
  <si>
    <t>Producerad energi El (MWh):</t>
  </si>
  <si>
    <t>Producerad energi Värme (MWh):</t>
  </si>
  <si>
    <t xml:space="preserve">Eldningsolja, naturgas, köpt el, el intern, värme </t>
  </si>
  <si>
    <t>Totalt producerad energi (MWh):</t>
  </si>
  <si>
    <t>Energianvändning (MWh):</t>
  </si>
  <si>
    <t>Andel El</t>
  </si>
  <si>
    <t>Andel Värme</t>
  </si>
  <si>
    <t>Källa:</t>
  </si>
  <si>
    <t>Sävenes anläggning</t>
  </si>
  <si>
    <t>Medelvärde</t>
  </si>
  <si>
    <t>Medelvärde (MWh)</t>
  </si>
  <si>
    <t>1/100 av den totala producerade energin (MWh)</t>
  </si>
  <si>
    <t>Svängningshjul beräkning</t>
  </si>
  <si>
    <t>m/s</t>
  </si>
  <si>
    <t>varv/s</t>
  </si>
  <si>
    <t>J</t>
  </si>
  <si>
    <t>E_krav (MWh)</t>
  </si>
  <si>
    <t>MWh</t>
  </si>
  <si>
    <t>kg</t>
  </si>
  <si>
    <t>m</t>
  </si>
  <si>
    <t>kg/m^3</t>
  </si>
  <si>
    <t>kWh</t>
  </si>
  <si>
    <t>Verkningsgrad</t>
  </si>
  <si>
    <t>Källa</t>
  </si>
  <si>
    <t>https://www.iva.se/globalassets/info-trycksaker/vagval-el/vagval-el-lagring.pdf</t>
  </si>
  <si>
    <t>https://www.engineeringtoolbox.com/flywheel-energy-d_945.html</t>
  </si>
  <si>
    <t>Batterikapacitet</t>
  </si>
  <si>
    <t>Räckvidd</t>
  </si>
  <si>
    <t>km</t>
  </si>
  <si>
    <t>Förbrukad energi per mil</t>
  </si>
  <si>
    <t>mil</t>
  </si>
  <si>
    <t>kWh/mil</t>
  </si>
  <si>
    <t>Sträcka</t>
  </si>
  <si>
    <t xml:space="preserve">Totalt producerad energi av anläggningen </t>
  </si>
  <si>
    <t>https://www.tesla.com/sites/default/files/tesla-model-s.pdf</t>
  </si>
  <si>
    <t>Antal bilar</t>
  </si>
  <si>
    <t>Tesla model S BEV</t>
  </si>
  <si>
    <t>Mercedes GLC F-Cell FCEV</t>
  </si>
  <si>
    <t xml:space="preserve">Förbrukad energi per mil </t>
  </si>
  <si>
    <t>Årlig energi förbrukad energi för en bil som åker 2000 mil</t>
  </si>
  <si>
    <t>st</t>
  </si>
  <si>
    <t>https://www.daimler.com/products/passenger-cars/mercedes-benz/glc-f-cell.html</t>
  </si>
  <si>
    <t>https://www.ri.se/sv/berattelser/branslecellsbilens-avgaser-vanligt-vatten</t>
  </si>
  <si>
    <t>Fördel-nackdel källa</t>
  </si>
  <si>
    <t>Total CO2 utsläpp (ton):</t>
  </si>
  <si>
    <t>Formation 1</t>
  </si>
  <si>
    <t>m^3</t>
  </si>
  <si>
    <t>bar</t>
  </si>
  <si>
    <t>grader</t>
  </si>
  <si>
    <t>Djup:</t>
  </si>
  <si>
    <t>Volym:</t>
  </si>
  <si>
    <t>Tryck:</t>
  </si>
  <si>
    <t>Temperatur :</t>
  </si>
  <si>
    <t>Densitet:</t>
  </si>
  <si>
    <t>Formation 2</t>
  </si>
  <si>
    <t>ton/m^3</t>
  </si>
  <si>
    <t>ton</t>
  </si>
  <si>
    <t>Koldioxid volym 10 år:</t>
  </si>
  <si>
    <t>Koldioxid volym 1 år:</t>
  </si>
  <si>
    <t>Andel av formationsvolym:</t>
  </si>
  <si>
    <t xml:space="preserve">Densistetskälla </t>
  </si>
  <si>
    <t>https://www.carbon-dioxide-properties.com/co2tablesweb.aspx</t>
  </si>
  <si>
    <t xml:space="preserve">Tryckkälla </t>
  </si>
  <si>
    <t>https://bluerobotics.com/learn/pressure-depth-calculator/</t>
  </si>
  <si>
    <t>Massa koldioxid</t>
  </si>
  <si>
    <t>https://en.wikipedia.org/wiki/Flywheel_energy_storage</t>
  </si>
  <si>
    <t>r_1</t>
  </si>
  <si>
    <t>r_2</t>
  </si>
  <si>
    <t>rho</t>
  </si>
  <si>
    <t xml:space="preserve">d </t>
  </si>
  <si>
    <t>v_peri</t>
  </si>
  <si>
    <t>v_omega</t>
  </si>
  <si>
    <t>Volym</t>
  </si>
  <si>
    <t>h</t>
  </si>
  <si>
    <t>rad/s</t>
  </si>
  <si>
    <t xml:space="preserve">E </t>
  </si>
  <si>
    <t xml:space="preserve">I </t>
  </si>
  <si>
    <t>Maraging steel</t>
  </si>
  <si>
    <t xml:space="preserve">Antal </t>
  </si>
  <si>
    <t xml:space="preserve">v </t>
  </si>
  <si>
    <t>Uträkning</t>
  </si>
  <si>
    <t>Allmänt</t>
  </si>
  <si>
    <t>Medel</t>
  </si>
  <si>
    <t>Energiinnehåll (MWh)</t>
  </si>
  <si>
    <t>Genomsnitt (MWh/ton)</t>
  </si>
  <si>
    <t xml:space="preserve">MWh/ton </t>
  </si>
  <si>
    <t>MJ/kg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</si>
</sst>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FF000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NumberFormat="1"/>
    <xf numFmtId="0" fontId="1" fillId="0" borderId="0" xfId="0" applyNumberFormat="1" applyFont="1"/>
    <xf numFmtId="0" fontId="2" fillId="0" borderId="0" xfId="0" applyNumberFormat="1" applyFont="1"/>
    <xf numFmtId="0" fontId="0" fillId="2" borderId="0" xfId="0" applyNumberFormat="1" applyFill="1"/>
    <xf numFmtId="0" fontId="3" fillId="0" borderId="0" xfId="0" applyNumberFormat="1" applyFont="1" applyFill="1"/>
    <xf numFmtId="0" fontId="0" fillId="0" borderId="0" xfId="0" applyNumberFormat="1" applyFill="1"/>
    <xf numFmtId="0" fontId="1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ngineeringtoolbox.com/flywheel-energy-d_945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aimler.com/products/passenger-cars/mercedes-benz/glc-f-cell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9D123-C300-6740-87C7-01BADB865F4F}">
  <dimension ref="A1:F23"/>
  <sheetViews>
    <sheetView tabSelected="1" zoomScale="140" zoomScaleNormal="140" workbookViewId="0">
      <selection activeCell="E20" sqref="E20"/>
    </sheetView>
  </sheetViews>
  <sheetFormatPr baseColWidth="10" defaultRowHeight="16" x14ac:dyDescent="0.2"/>
  <cols>
    <col min="1" max="1" width="46" style="1" customWidth="1"/>
    <col min="2" max="2" width="18.5" style="1" customWidth="1"/>
    <col min="3" max="3" width="15" style="1" customWidth="1"/>
    <col min="4" max="4" width="15.33203125" style="1" customWidth="1"/>
    <col min="5" max="5" width="43.5" style="1" customWidth="1"/>
    <col min="6" max="6" width="16.1640625" style="1" customWidth="1"/>
    <col min="7" max="16384" width="10.83203125" style="1"/>
  </cols>
  <sheetData>
    <row r="1" spans="1:5" x14ac:dyDescent="0.2">
      <c r="B1" s="1">
        <v>2018</v>
      </c>
      <c r="C1" s="1">
        <v>2017</v>
      </c>
      <c r="D1" s="1">
        <v>2016</v>
      </c>
      <c r="E1" s="1" t="s">
        <v>84</v>
      </c>
    </row>
    <row r="2" spans="1:5" x14ac:dyDescent="0.2">
      <c r="A2" s="2" t="s">
        <v>0</v>
      </c>
    </row>
    <row r="3" spans="1:5" x14ac:dyDescent="0.2">
      <c r="A3" s="1" t="s">
        <v>2</v>
      </c>
      <c r="B3" s="3">
        <v>279000</v>
      </c>
      <c r="C3" s="3">
        <v>269000</v>
      </c>
      <c r="D3" s="3">
        <v>250000</v>
      </c>
      <c r="E3" s="1">
        <f>SUM(B3:D3)/3</f>
        <v>266000</v>
      </c>
    </row>
    <row r="4" spans="1:5" x14ac:dyDescent="0.2">
      <c r="A4" s="1" t="s">
        <v>3</v>
      </c>
      <c r="B4" s="3">
        <v>1506000</v>
      </c>
      <c r="C4" s="3">
        <v>1454000</v>
      </c>
      <c r="D4" s="3">
        <v>1506000</v>
      </c>
      <c r="E4" s="1">
        <f>SUM(B4:D4)/3</f>
        <v>1488666.6666666667</v>
      </c>
    </row>
    <row r="5" spans="1:5" x14ac:dyDescent="0.2">
      <c r="A5" s="1" t="s">
        <v>5</v>
      </c>
      <c r="B5" s="1">
        <f>B3+B4</f>
        <v>1785000</v>
      </c>
      <c r="C5" s="1">
        <f>C3+C4</f>
        <v>1723000</v>
      </c>
      <c r="D5" s="1">
        <f>D3+D4</f>
        <v>1756000</v>
      </c>
      <c r="E5" s="1">
        <f>SUM(B5:D5)/3</f>
        <v>1754666.6666666667</v>
      </c>
    </row>
    <row r="6" spans="1:5" x14ac:dyDescent="0.2">
      <c r="A6" s="1" t="s">
        <v>7</v>
      </c>
      <c r="B6" s="1">
        <f>B3/B5</f>
        <v>0.15630252100840336</v>
      </c>
      <c r="C6" s="1">
        <f t="shared" ref="C6:D6" si="0">C3/C5</f>
        <v>0.15612304120719675</v>
      </c>
      <c r="D6" s="1">
        <f t="shared" si="0"/>
        <v>0.14236902050113895</v>
      </c>
      <c r="E6" s="1">
        <f>SUM(B6:D6)/3</f>
        <v>0.15159819423891305</v>
      </c>
    </row>
    <row r="7" spans="1:5" x14ac:dyDescent="0.2">
      <c r="A7" s="1" t="s">
        <v>8</v>
      </c>
      <c r="B7" s="1">
        <f>B4/B5</f>
        <v>0.84369747899159664</v>
      </c>
      <c r="C7" s="1">
        <f t="shared" ref="C7:D7" si="1">C4/C5</f>
        <v>0.84387695879280322</v>
      </c>
      <c r="D7" s="1">
        <f t="shared" si="1"/>
        <v>0.85763097949886102</v>
      </c>
      <c r="E7" s="1">
        <f>SUM(B7:D7)/3</f>
        <v>0.84840180576108704</v>
      </c>
    </row>
    <row r="8" spans="1:5" x14ac:dyDescent="0.2">
      <c r="A8" s="1" t="s">
        <v>1</v>
      </c>
      <c r="B8" s="3">
        <v>538200</v>
      </c>
      <c r="C8" s="3">
        <v>549200</v>
      </c>
      <c r="D8" s="3">
        <v>536000</v>
      </c>
      <c r="E8" s="1">
        <f>SUM(B8:D8)/3</f>
        <v>541133.33333333337</v>
      </c>
    </row>
    <row r="9" spans="1:5" x14ac:dyDescent="0.2">
      <c r="A9" s="1" t="s">
        <v>6</v>
      </c>
      <c r="B9" s="3">
        <v>203610</v>
      </c>
      <c r="C9" s="3">
        <v>205358</v>
      </c>
      <c r="D9" s="3">
        <v>208330</v>
      </c>
      <c r="E9" s="1" t="s">
        <v>4</v>
      </c>
    </row>
    <row r="11" spans="1:5" x14ac:dyDescent="0.2">
      <c r="A11" s="1" t="s">
        <v>24</v>
      </c>
      <c r="B11" s="3">
        <v>0.95</v>
      </c>
    </row>
    <row r="12" spans="1:5" x14ac:dyDescent="0.2">
      <c r="A12" s="1" t="s">
        <v>85</v>
      </c>
      <c r="B12" s="3">
        <f>E5/B11</f>
        <v>1847017.5438596492</v>
      </c>
    </row>
    <row r="13" spans="1:5" x14ac:dyDescent="0.2">
      <c r="A13" s="1" t="s">
        <v>86</v>
      </c>
      <c r="B13" s="1">
        <f>B12/E8</f>
        <v>3.4132392704071375</v>
      </c>
      <c r="C13" s="1" t="s">
        <v>87</v>
      </c>
      <c r="D13" s="1">
        <f>B13*3600/1000</f>
        <v>12.287661373465696</v>
      </c>
      <c r="E13" s="1" t="s">
        <v>88</v>
      </c>
    </row>
    <row r="23" spans="1:6" x14ac:dyDescent="0.2">
      <c r="A23" s="5"/>
      <c r="B23" s="6"/>
      <c r="C23" s="6"/>
      <c r="D23" s="6"/>
      <c r="E23" s="6"/>
      <c r="F2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F10EC-A7C7-904C-B0AE-6B420787E295}">
  <dimension ref="A1:F26"/>
  <sheetViews>
    <sheetView zoomScale="150" zoomScaleNormal="150" workbookViewId="0">
      <selection activeCell="F18" sqref="F18"/>
    </sheetView>
  </sheetViews>
  <sheetFormatPr baseColWidth="10" defaultRowHeight="16" x14ac:dyDescent="0.2"/>
  <cols>
    <col min="1" max="1" width="44.1640625" customWidth="1"/>
    <col min="2" max="2" width="16.6640625" customWidth="1"/>
    <col min="3" max="3" width="9.6640625" customWidth="1"/>
  </cols>
  <sheetData>
    <row r="1" spans="1:6" x14ac:dyDescent="0.2">
      <c r="B1" s="1">
        <v>2018</v>
      </c>
      <c r="C1" s="1">
        <v>2017</v>
      </c>
      <c r="D1" s="1">
        <v>2016</v>
      </c>
    </row>
    <row r="2" spans="1:6" x14ac:dyDescent="0.2">
      <c r="A2" s="7" t="s">
        <v>10</v>
      </c>
    </row>
    <row r="3" spans="1:6" x14ac:dyDescent="0.2">
      <c r="A3" s="1" t="s">
        <v>2</v>
      </c>
      <c r="B3" s="3">
        <v>279000</v>
      </c>
      <c r="C3" s="3">
        <v>269000</v>
      </c>
      <c r="D3" s="3">
        <v>250000</v>
      </c>
    </row>
    <row r="4" spans="1:6" x14ac:dyDescent="0.2">
      <c r="A4" s="1" t="s">
        <v>13</v>
      </c>
      <c r="B4">
        <f>B3/100</f>
        <v>2790</v>
      </c>
      <c r="C4">
        <f t="shared" ref="C4:D4" si="0">C3/100</f>
        <v>2690</v>
      </c>
      <c r="D4">
        <f t="shared" si="0"/>
        <v>2500</v>
      </c>
      <c r="E4" t="s">
        <v>12</v>
      </c>
      <c r="F4">
        <f>SUM(B4:D4)/3</f>
        <v>2660</v>
      </c>
    </row>
    <row r="5" spans="1:6" x14ac:dyDescent="0.2">
      <c r="A5" s="4"/>
      <c r="B5" s="4"/>
      <c r="C5" s="4"/>
      <c r="D5" s="4"/>
      <c r="E5" s="4"/>
      <c r="F5" s="4"/>
    </row>
    <row r="7" spans="1:6" x14ac:dyDescent="0.2">
      <c r="A7" s="7" t="s">
        <v>14</v>
      </c>
    </row>
    <row r="8" spans="1:6" x14ac:dyDescent="0.2">
      <c r="A8" t="s">
        <v>18</v>
      </c>
      <c r="B8">
        <v>2660</v>
      </c>
      <c r="C8" t="s">
        <v>19</v>
      </c>
      <c r="D8">
        <f>B8*1000</f>
        <v>2660000</v>
      </c>
      <c r="E8" t="s">
        <v>23</v>
      </c>
    </row>
    <row r="9" spans="1:6" x14ac:dyDescent="0.2">
      <c r="A9" t="s">
        <v>68</v>
      </c>
      <c r="B9">
        <v>0.8</v>
      </c>
      <c r="C9" t="s">
        <v>21</v>
      </c>
    </row>
    <row r="10" spans="1:6" x14ac:dyDescent="0.2">
      <c r="A10" t="s">
        <v>69</v>
      </c>
      <c r="B10">
        <v>1</v>
      </c>
      <c r="C10" t="s">
        <v>21</v>
      </c>
    </row>
    <row r="11" spans="1:6" x14ac:dyDescent="0.2">
      <c r="A11" t="s">
        <v>71</v>
      </c>
      <c r="B11">
        <f>2*B10</f>
        <v>2</v>
      </c>
      <c r="C11" t="s">
        <v>21</v>
      </c>
    </row>
    <row r="12" spans="1:6" x14ac:dyDescent="0.2">
      <c r="A12" t="s">
        <v>75</v>
      </c>
      <c r="B12">
        <v>1</v>
      </c>
      <c r="C12" t="s">
        <v>21</v>
      </c>
    </row>
    <row r="13" spans="1:6" x14ac:dyDescent="0.2">
      <c r="A13" t="s">
        <v>70</v>
      </c>
      <c r="B13">
        <v>1800</v>
      </c>
      <c r="C13" t="s">
        <v>22</v>
      </c>
      <c r="D13" t="s">
        <v>79</v>
      </c>
    </row>
    <row r="14" spans="1:6" x14ac:dyDescent="0.2">
      <c r="A14" t="s">
        <v>74</v>
      </c>
      <c r="B14">
        <f>(B10^2-B9^2)*3.141592*B12</f>
        <v>1.1309731199999997</v>
      </c>
      <c r="C14" t="s">
        <v>48</v>
      </c>
    </row>
    <row r="15" spans="1:6" x14ac:dyDescent="0.2">
      <c r="A15" t="s">
        <v>21</v>
      </c>
      <c r="B15">
        <f>B13*B14</f>
        <v>2035.7516159999996</v>
      </c>
      <c r="C15" t="s">
        <v>20</v>
      </c>
    </row>
    <row r="16" spans="1:6" x14ac:dyDescent="0.2">
      <c r="A16" t="s">
        <v>78</v>
      </c>
      <c r="B16">
        <f>1/2*B15*(B10^2+B9^2)*3.141592</f>
        <v>5244.3108124663913</v>
      </c>
    </row>
    <row r="17" spans="1:5" x14ac:dyDescent="0.2">
      <c r="A17" t="s">
        <v>72</v>
      </c>
      <c r="B17">
        <v>2000</v>
      </c>
      <c r="C17" t="s">
        <v>15</v>
      </c>
    </row>
    <row r="18" spans="1:5" x14ac:dyDescent="0.2">
      <c r="A18" t="s">
        <v>81</v>
      </c>
      <c r="B18">
        <f>B17/(3.141592*B11)</f>
        <v>318.30995240629591</v>
      </c>
      <c r="C18" t="s">
        <v>16</v>
      </c>
    </row>
    <row r="19" spans="1:5" x14ac:dyDescent="0.2">
      <c r="A19" t="s">
        <v>73</v>
      </c>
      <c r="B19">
        <f>B18*2*3.141592</f>
        <v>2000</v>
      </c>
      <c r="C19" t="s">
        <v>76</v>
      </c>
    </row>
    <row r="20" spans="1:5" x14ac:dyDescent="0.2">
      <c r="A20" t="s">
        <v>77</v>
      </c>
      <c r="B20">
        <f>1/2*B19^2*B16</f>
        <v>10488621624.932783</v>
      </c>
      <c r="C20" t="s">
        <v>17</v>
      </c>
      <c r="D20">
        <f>B20/(3.6*10^6)</f>
        <v>2913.5060069257729</v>
      </c>
      <c r="E20" t="s">
        <v>23</v>
      </c>
    </row>
    <row r="21" spans="1:5" x14ac:dyDescent="0.2">
      <c r="A21" t="s">
        <v>80</v>
      </c>
      <c r="B21">
        <f>D8/D20</f>
        <v>912.9893652790978</v>
      </c>
    </row>
    <row r="23" spans="1:5" x14ac:dyDescent="0.2">
      <c r="A23" t="s">
        <v>25</v>
      </c>
    </row>
    <row r="24" spans="1:5" x14ac:dyDescent="0.2">
      <c r="A24" t="s">
        <v>83</v>
      </c>
      <c r="B24" t="s">
        <v>26</v>
      </c>
    </row>
    <row r="25" spans="1:5" x14ac:dyDescent="0.2">
      <c r="A25" t="s">
        <v>82</v>
      </c>
      <c r="B25" s="8" t="s">
        <v>27</v>
      </c>
    </row>
    <row r="26" spans="1:5" x14ac:dyDescent="0.2">
      <c r="A26" t="s">
        <v>24</v>
      </c>
      <c r="B26" t="s">
        <v>67</v>
      </c>
    </row>
  </sheetData>
  <hyperlinks>
    <hyperlink ref="B25" r:id="rId1" xr:uid="{F831D366-4194-1B4C-B3D9-BA88BFC6660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17B66-4EB2-1244-A590-0B031C2E36DB}">
  <dimension ref="A1:G30"/>
  <sheetViews>
    <sheetView zoomScale="140" zoomScaleNormal="140" workbookViewId="0">
      <selection activeCell="A30" sqref="A30"/>
    </sheetView>
  </sheetViews>
  <sheetFormatPr baseColWidth="10" defaultRowHeight="16" x14ac:dyDescent="0.2"/>
  <cols>
    <col min="1" max="1" width="50.83203125" customWidth="1"/>
  </cols>
  <sheetData>
    <row r="1" spans="1:7" x14ac:dyDescent="0.2">
      <c r="B1" s="1">
        <v>2018</v>
      </c>
      <c r="C1" s="1">
        <v>2017</v>
      </c>
      <c r="D1" s="1">
        <v>2016</v>
      </c>
    </row>
    <row r="2" spans="1:7" x14ac:dyDescent="0.2">
      <c r="A2" s="7" t="s">
        <v>10</v>
      </c>
    </row>
    <row r="3" spans="1:7" x14ac:dyDescent="0.2">
      <c r="A3" s="1" t="s">
        <v>2</v>
      </c>
      <c r="B3" s="3">
        <v>279000</v>
      </c>
      <c r="C3" s="3">
        <v>269000</v>
      </c>
      <c r="D3" s="3">
        <v>250000</v>
      </c>
      <c r="E3" t="s">
        <v>11</v>
      </c>
      <c r="F3">
        <f>SUM(B3:D3)/3</f>
        <v>266000</v>
      </c>
      <c r="G3" t="s">
        <v>19</v>
      </c>
    </row>
    <row r="4" spans="1:7" x14ac:dyDescent="0.2">
      <c r="A4" s="4"/>
      <c r="B4" s="4"/>
      <c r="C4" s="4"/>
      <c r="D4" s="4"/>
      <c r="E4" s="4"/>
      <c r="F4" s="4"/>
    </row>
    <row r="6" spans="1:7" x14ac:dyDescent="0.2">
      <c r="G6">
        <v>266000</v>
      </c>
    </row>
    <row r="7" spans="1:7" x14ac:dyDescent="0.2">
      <c r="A7" s="7" t="s">
        <v>38</v>
      </c>
    </row>
    <row r="8" spans="1:7" x14ac:dyDescent="0.2">
      <c r="A8" t="s">
        <v>28</v>
      </c>
      <c r="B8">
        <v>85</v>
      </c>
      <c r="C8" t="s">
        <v>23</v>
      </c>
    </row>
    <row r="9" spans="1:7" x14ac:dyDescent="0.2">
      <c r="A9" t="s">
        <v>29</v>
      </c>
      <c r="B9">
        <v>386</v>
      </c>
      <c r="C9" t="s">
        <v>30</v>
      </c>
      <c r="D9">
        <f>B9/10</f>
        <v>38.6</v>
      </c>
      <c r="E9" t="s">
        <v>32</v>
      </c>
    </row>
    <row r="10" spans="1:7" x14ac:dyDescent="0.2">
      <c r="A10" t="s">
        <v>31</v>
      </c>
      <c r="B10">
        <f>B8/D9</f>
        <v>2.2020725388601035</v>
      </c>
      <c r="C10" t="s">
        <v>33</v>
      </c>
    </row>
    <row r="11" spans="1:7" x14ac:dyDescent="0.2">
      <c r="A11" t="s">
        <v>34</v>
      </c>
      <c r="B11">
        <v>2000</v>
      </c>
      <c r="C11" t="s">
        <v>32</v>
      </c>
    </row>
    <row r="12" spans="1:7" x14ac:dyDescent="0.2">
      <c r="A12" t="s">
        <v>41</v>
      </c>
      <c r="B12">
        <f>B11*B10</f>
        <v>4404.1450777202072</v>
      </c>
      <c r="C12" t="s">
        <v>23</v>
      </c>
    </row>
    <row r="13" spans="1:7" x14ac:dyDescent="0.2">
      <c r="A13" t="s">
        <v>35</v>
      </c>
      <c r="B13">
        <f>F3</f>
        <v>266000</v>
      </c>
      <c r="C13" t="s">
        <v>19</v>
      </c>
      <c r="D13">
        <f>B13*1000</f>
        <v>266000000</v>
      </c>
      <c r="E13" t="s">
        <v>23</v>
      </c>
    </row>
    <row r="14" spans="1:7" x14ac:dyDescent="0.2">
      <c r="A14" t="s">
        <v>37</v>
      </c>
      <c r="B14">
        <f>D13/B12</f>
        <v>60397.647058823532</v>
      </c>
      <c r="C14" t="s">
        <v>42</v>
      </c>
    </row>
    <row r="16" spans="1:7" x14ac:dyDescent="0.2">
      <c r="A16" t="s">
        <v>9</v>
      </c>
    </row>
    <row r="17" spans="1:5" x14ac:dyDescent="0.2">
      <c r="A17" t="s">
        <v>36</v>
      </c>
    </row>
    <row r="19" spans="1:5" x14ac:dyDescent="0.2">
      <c r="A19" s="7" t="s">
        <v>39</v>
      </c>
    </row>
    <row r="20" spans="1:5" x14ac:dyDescent="0.2">
      <c r="A20" t="s">
        <v>40</v>
      </c>
      <c r="B20">
        <v>1.8</v>
      </c>
      <c r="C20" t="s">
        <v>33</v>
      </c>
    </row>
    <row r="21" spans="1:5" x14ac:dyDescent="0.2">
      <c r="A21" t="s">
        <v>34</v>
      </c>
      <c r="B21">
        <v>2000</v>
      </c>
      <c r="C21" t="s">
        <v>32</v>
      </c>
    </row>
    <row r="22" spans="1:5" x14ac:dyDescent="0.2">
      <c r="A22" t="s">
        <v>41</v>
      </c>
      <c r="B22">
        <f>B21*B20</f>
        <v>3600</v>
      </c>
      <c r="C22" t="s">
        <v>23</v>
      </c>
    </row>
    <row r="23" spans="1:5" x14ac:dyDescent="0.2">
      <c r="A23" t="s">
        <v>35</v>
      </c>
      <c r="B23">
        <f>F3</f>
        <v>266000</v>
      </c>
      <c r="C23" t="s">
        <v>19</v>
      </c>
      <c r="D23">
        <f>B23*1000</f>
        <v>266000000</v>
      </c>
      <c r="E23" t="s">
        <v>23</v>
      </c>
    </row>
    <row r="24" spans="1:5" x14ac:dyDescent="0.2">
      <c r="A24" t="s">
        <v>37</v>
      </c>
      <c r="B24">
        <f>D23/B22</f>
        <v>73888.888888888891</v>
      </c>
      <c r="C24" t="s">
        <v>42</v>
      </c>
    </row>
    <row r="26" spans="1:5" x14ac:dyDescent="0.2">
      <c r="A26" t="s">
        <v>9</v>
      </c>
    </row>
    <row r="27" spans="1:5" x14ac:dyDescent="0.2">
      <c r="A27" s="8" t="s">
        <v>43</v>
      </c>
    </row>
    <row r="29" spans="1:5" x14ac:dyDescent="0.2">
      <c r="A29" t="s">
        <v>45</v>
      </c>
    </row>
    <row r="30" spans="1:5" x14ac:dyDescent="0.2">
      <c r="A30" t="s">
        <v>44</v>
      </c>
    </row>
  </sheetData>
  <hyperlinks>
    <hyperlink ref="A27" r:id="rId1" xr:uid="{D91907B1-1068-DA4B-B530-6CC9310E8A8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BB4B8-2AC1-CD42-BE4A-8E22BFD132D1}">
  <dimension ref="A1:F27"/>
  <sheetViews>
    <sheetView zoomScale="150" zoomScaleNormal="150" workbookViewId="0">
      <selection activeCell="C21" sqref="C21"/>
    </sheetView>
  </sheetViews>
  <sheetFormatPr baseColWidth="10" defaultRowHeight="16" x14ac:dyDescent="0.2"/>
  <cols>
    <col min="1" max="1" width="24.1640625" customWidth="1"/>
    <col min="2" max="2" width="14.83203125" customWidth="1"/>
    <col min="3" max="3" width="10.6640625" customWidth="1"/>
    <col min="5" max="5" width="12.1640625" customWidth="1"/>
    <col min="6" max="6" width="14" customWidth="1"/>
  </cols>
  <sheetData>
    <row r="1" spans="1:6" x14ac:dyDescent="0.2">
      <c r="A1" s="7" t="s">
        <v>10</v>
      </c>
      <c r="B1">
        <v>2018</v>
      </c>
      <c r="C1">
        <v>2017</v>
      </c>
      <c r="D1">
        <v>2016</v>
      </c>
    </row>
    <row r="2" spans="1:6" x14ac:dyDescent="0.2">
      <c r="A2" t="s">
        <v>46</v>
      </c>
      <c r="B2">
        <v>218600</v>
      </c>
      <c r="C2">
        <v>185600</v>
      </c>
      <c r="D2">
        <v>202300</v>
      </c>
      <c r="E2" t="s">
        <v>11</v>
      </c>
      <c r="F2">
        <f>SUM(B2:D2)/3</f>
        <v>202166.66666666666</v>
      </c>
    </row>
    <row r="5" spans="1:6" x14ac:dyDescent="0.2">
      <c r="A5" t="s">
        <v>66</v>
      </c>
      <c r="B5">
        <f>F2</f>
        <v>202166.66666666666</v>
      </c>
      <c r="C5" t="s">
        <v>58</v>
      </c>
    </row>
    <row r="6" spans="1:6" x14ac:dyDescent="0.2">
      <c r="A6" s="7" t="s">
        <v>47</v>
      </c>
    </row>
    <row r="7" spans="1:6" x14ac:dyDescent="0.2">
      <c r="A7" t="s">
        <v>51</v>
      </c>
      <c r="B7">
        <v>200</v>
      </c>
      <c r="C7" t="s">
        <v>21</v>
      </c>
    </row>
    <row r="8" spans="1:6" x14ac:dyDescent="0.2">
      <c r="A8" t="s">
        <v>52</v>
      </c>
      <c r="B8">
        <f>10^8</f>
        <v>100000000</v>
      </c>
      <c r="C8" t="s">
        <v>48</v>
      </c>
    </row>
    <row r="9" spans="1:6" x14ac:dyDescent="0.2">
      <c r="A9" t="s">
        <v>53</v>
      </c>
      <c r="B9">
        <v>20.079999999999998</v>
      </c>
      <c r="C9" t="s">
        <v>49</v>
      </c>
    </row>
    <row r="10" spans="1:6" x14ac:dyDescent="0.2">
      <c r="A10" t="s">
        <v>54</v>
      </c>
      <c r="B10">
        <v>4</v>
      </c>
      <c r="C10" t="s">
        <v>50</v>
      </c>
    </row>
    <row r="11" spans="1:6" x14ac:dyDescent="0.2">
      <c r="A11" t="s">
        <v>55</v>
      </c>
      <c r="B11">
        <v>44.720999999999997</v>
      </c>
      <c r="C11" t="s">
        <v>22</v>
      </c>
      <c r="D11">
        <f>B11/1000</f>
        <v>4.4720999999999997E-2</v>
      </c>
      <c r="E11" t="s">
        <v>57</v>
      </c>
    </row>
    <row r="12" spans="1:6" x14ac:dyDescent="0.2">
      <c r="A12" t="s">
        <v>60</v>
      </c>
      <c r="B12">
        <f>B5/D11</f>
        <v>4520620.4393163538</v>
      </c>
      <c r="C12" t="s">
        <v>48</v>
      </c>
    </row>
    <row r="13" spans="1:6" x14ac:dyDescent="0.2">
      <c r="A13" t="s">
        <v>59</v>
      </c>
      <c r="B13">
        <f>B12*10</f>
        <v>45206204.393163539</v>
      </c>
      <c r="C13" t="s">
        <v>48</v>
      </c>
      <c r="D13">
        <f>B13/10^6</f>
        <v>45.206204393163539</v>
      </c>
    </row>
    <row r="14" spans="1:6" x14ac:dyDescent="0.2">
      <c r="A14" t="s">
        <v>61</v>
      </c>
      <c r="B14">
        <f>B13/B8</f>
        <v>0.4520620439316354</v>
      </c>
    </row>
    <row r="16" spans="1:6" x14ac:dyDescent="0.2">
      <c r="A16" s="7" t="s">
        <v>56</v>
      </c>
    </row>
    <row r="17" spans="1:5" x14ac:dyDescent="0.2">
      <c r="A17" t="s">
        <v>51</v>
      </c>
      <c r="B17">
        <v>600</v>
      </c>
      <c r="C17" t="s">
        <v>21</v>
      </c>
    </row>
    <row r="18" spans="1:5" x14ac:dyDescent="0.2">
      <c r="A18" t="s">
        <v>52</v>
      </c>
      <c r="B18">
        <f>10^7</f>
        <v>10000000</v>
      </c>
      <c r="C18" t="s">
        <v>48</v>
      </c>
    </row>
    <row r="19" spans="1:5" x14ac:dyDescent="0.2">
      <c r="A19" t="s">
        <v>53</v>
      </c>
      <c r="B19">
        <v>60.23</v>
      </c>
      <c r="C19" t="s">
        <v>49</v>
      </c>
    </row>
    <row r="20" spans="1:5" x14ac:dyDescent="0.2">
      <c r="A20" t="s">
        <v>54</v>
      </c>
      <c r="B20">
        <v>4</v>
      </c>
      <c r="C20" t="s">
        <v>50</v>
      </c>
    </row>
    <row r="21" spans="1:5" x14ac:dyDescent="0.2">
      <c r="A21" t="s">
        <v>55</v>
      </c>
      <c r="B21">
        <v>923.31</v>
      </c>
      <c r="C21" t="s">
        <v>22</v>
      </c>
      <c r="D21">
        <f>B21/1000</f>
        <v>0.92330999999999996</v>
      </c>
      <c r="E21" t="s">
        <v>57</v>
      </c>
    </row>
    <row r="22" spans="1:5" x14ac:dyDescent="0.2">
      <c r="A22" t="s">
        <v>60</v>
      </c>
      <c r="B22">
        <f>B5/D21</f>
        <v>218958.60184192381</v>
      </c>
      <c r="C22" t="s">
        <v>48</v>
      </c>
    </row>
    <row r="23" spans="1:5" x14ac:dyDescent="0.2">
      <c r="A23" t="s">
        <v>59</v>
      </c>
      <c r="B23">
        <f>B22*10</f>
        <v>2189586.0184192383</v>
      </c>
      <c r="C23" t="s">
        <v>48</v>
      </c>
      <c r="D23">
        <f>B23/10^6</f>
        <v>2.1895860184192384</v>
      </c>
    </row>
    <row r="24" spans="1:5" x14ac:dyDescent="0.2">
      <c r="A24" t="s">
        <v>61</v>
      </c>
      <c r="B24">
        <f>B23/B18</f>
        <v>0.21895860184192384</v>
      </c>
    </row>
    <row r="26" spans="1:5" x14ac:dyDescent="0.2">
      <c r="A26" t="s">
        <v>62</v>
      </c>
      <c r="B26" t="s">
        <v>63</v>
      </c>
    </row>
    <row r="27" spans="1:5" x14ac:dyDescent="0.2">
      <c r="A27" t="s">
        <v>64</v>
      </c>
      <c r="B2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Uppgift1</vt:lpstr>
      <vt:lpstr>Uppgift 2</vt:lpstr>
      <vt:lpstr>Uppgift 3</vt:lpstr>
      <vt:lpstr>Uppgift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Eric Dat Le</cp:lastModifiedBy>
  <dcterms:created xsi:type="dcterms:W3CDTF">2021-05-01T18:55:51Z</dcterms:created>
  <dcterms:modified xsi:type="dcterms:W3CDTF">2021-05-04T07:38:45Z</dcterms:modified>
</cp:coreProperties>
</file>